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purdham\Desktop\AI\Property\"/>
    </mc:Choice>
  </mc:AlternateContent>
  <xr:revisionPtr revIDLastSave="0" documentId="13_ncr:1_{59B509DD-B156-49A5-9934-0AC5C4083A78}" xr6:coauthVersionLast="47" xr6:coauthVersionMax="47" xr10:uidLastSave="{00000000-0000-0000-0000-000000000000}"/>
  <bookViews>
    <workbookView xWindow="28680" yWindow="-120" windowWidth="29040" windowHeight="15840" xr2:uid="{59C530A8-3F44-4B4D-8AAD-0F0906A21A68}"/>
  </bookViews>
  <sheets>
    <sheet name="BRR" sheetId="1" r:id="rId1"/>
    <sheet name="Flip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1" l="1"/>
  <c r="K27" i="1"/>
  <c r="I28" i="1"/>
  <c r="K28" i="1"/>
  <c r="K31" i="1" s="1"/>
  <c r="I29" i="1"/>
  <c r="K29" i="1"/>
  <c r="K30" i="1"/>
  <c r="I37" i="1"/>
  <c r="K37" i="1"/>
  <c r="I38" i="1"/>
  <c r="K38" i="1" s="1"/>
  <c r="I39" i="1"/>
  <c r="K39" i="1" s="1"/>
  <c r="B61" i="1"/>
  <c r="B28" i="1"/>
  <c r="B55" i="1" s="1"/>
  <c r="B63" i="1" s="1"/>
  <c r="B16" i="1"/>
  <c r="B15" i="1" s="1"/>
  <c r="B41" i="2"/>
  <c r="B40" i="2" s="1"/>
  <c r="B37" i="2"/>
  <c r="B20" i="2"/>
  <c r="B52" i="2" s="1"/>
  <c r="K31" i="2"/>
  <c r="I31" i="2"/>
  <c r="I32" i="2" s="1"/>
  <c r="K21" i="2"/>
  <c r="I21" i="2"/>
  <c r="I22" i="2" s="1"/>
  <c r="K22" i="2" s="1"/>
  <c r="C26" i="2"/>
  <c r="B43" i="1"/>
  <c r="C32" i="1"/>
  <c r="K40" i="1" l="1"/>
  <c r="B46" i="1"/>
  <c r="B64" i="1"/>
  <c r="B66" i="1" s="1"/>
  <c r="B47" i="1"/>
  <c r="B43" i="2"/>
  <c r="B46" i="2" s="1"/>
  <c r="B42" i="2"/>
  <c r="I33" i="2"/>
  <c r="K33" i="2" s="1"/>
  <c r="K32" i="2"/>
  <c r="K34" i="2" s="1"/>
  <c r="B19" i="1" l="1"/>
  <c r="B17" i="1" s="1"/>
  <c r="B44" i="2"/>
  <c r="B34" i="1" l="1"/>
  <c r="B38" i="1" s="1"/>
  <c r="B51" i="1" l="1"/>
  <c r="B49" i="1"/>
  <c r="B54" i="1" s="1"/>
  <c r="B56" i="1"/>
  <c r="B67" i="1" s="1"/>
  <c r="I23" i="2"/>
  <c r="K24" i="2" l="1"/>
  <c r="K23" i="2"/>
  <c r="K25" i="2" l="1"/>
  <c r="B28" i="2" s="1"/>
  <c r="B48" i="2" s="1"/>
  <c r="B32" i="2"/>
  <c r="B45" i="2" s="1"/>
  <c r="B51" i="2" s="1"/>
  <c r="B53" i="2" s="1"/>
</calcChain>
</file>

<file path=xl/sharedStrings.xml><?xml version="1.0" encoding="utf-8"?>
<sst xmlns="http://schemas.openxmlformats.org/spreadsheetml/2006/main" count="158" uniqueCount="92">
  <si>
    <t>PROPERTY ADDRESS</t>
  </si>
  <si>
    <t>PROPERTY REFERENCE</t>
  </si>
  <si>
    <t>Deal Stacking Template</t>
  </si>
  <si>
    <t>Residential/Commercial</t>
  </si>
  <si>
    <t>Residential</t>
  </si>
  <si>
    <t>Commercial</t>
  </si>
  <si>
    <t>After development:</t>
  </si>
  <si>
    <t>AUTO</t>
  </si>
  <si>
    <t>Costs:</t>
  </si>
  <si>
    <t>Refurb</t>
  </si>
  <si>
    <t>Residential rates</t>
  </si>
  <si>
    <t>Residential PP</t>
  </si>
  <si>
    <t>Planning</t>
  </si>
  <si>
    <t>Size of band</t>
  </si>
  <si>
    <t>Upper limit</t>
  </si>
  <si>
    <t>Rate</t>
  </si>
  <si>
    <t>SDLT</t>
  </si>
  <si>
    <t>Total development costs</t>
  </si>
  <si>
    <t>Est purchase price</t>
  </si>
  <si>
    <t>Commercial rates</t>
  </si>
  <si>
    <t>Commercial PP</t>
  </si>
  <si>
    <t>Summary</t>
  </si>
  <si>
    <t>All in costs</t>
  </si>
  <si>
    <t>Sale will pay</t>
  </si>
  <si>
    <t>Deposit</t>
  </si>
  <si>
    <t>Gross bridge</t>
  </si>
  <si>
    <t>Net bridge</t>
  </si>
  <si>
    <t>Total costs</t>
  </si>
  <si>
    <t>Cash required</t>
  </si>
  <si>
    <t>(Profit)/loss</t>
  </si>
  <si>
    <t>Auction fees</t>
  </si>
  <si>
    <t>Bridging</t>
  </si>
  <si>
    <t>Monthly interest rate</t>
  </si>
  <si>
    <t>Bridging interest (true cost to exit)</t>
  </si>
  <si>
    <t>Settings</t>
  </si>
  <si>
    <t>Actual months to exit (refinance or sale)</t>
  </si>
  <si>
    <t>Bridging fees retained</t>
  </si>
  <si>
    <t>Solicitor fees</t>
  </si>
  <si>
    <t>Development:</t>
  </si>
  <si>
    <t>Purchase/legal/refinance</t>
  </si>
  <si>
    <t>Valuation fees</t>
  </si>
  <si>
    <t>Total purchase costs</t>
  </si>
  <si>
    <t>Agreed sale price</t>
  </si>
  <si>
    <t>Holding costs</t>
  </si>
  <si>
    <t>Sale proceeds</t>
  </si>
  <si>
    <t>Bridging interest - months retained</t>
  </si>
  <si>
    <t>Agent fees</t>
  </si>
  <si>
    <t>Fill out</t>
  </si>
  <si>
    <t>Automated</t>
  </si>
  <si>
    <t>SDLT calculator - Single property PP up to £1.5m</t>
  </si>
  <si>
    <t>Arrangement (2%) and broker (1.5%)</t>
  </si>
  <si>
    <t>ENTER PP HERE</t>
  </si>
  <si>
    <t>OR</t>
  </si>
  <si>
    <t>% of PP funded with bridging</t>
  </si>
  <si>
    <t>Interest no. of months retained</t>
  </si>
  <si>
    <t>Actual no. months to exit (refinance or sale)</t>
  </si>
  <si>
    <t>Current MV (£)</t>
  </si>
  <si>
    <t>LTV (%)</t>
  </si>
  <si>
    <t>Monthly interest rate (%)</t>
  </si>
  <si>
    <t>Deposit (£)</t>
  </si>
  <si>
    <t>Gross bridge (£)</t>
  </si>
  <si>
    <t>Net bridge (£)</t>
  </si>
  <si>
    <t>GDV (£)</t>
  </si>
  <si>
    <t>Mortgage LTV (%)</t>
  </si>
  <si>
    <t>Solicitor fees (£)</t>
  </si>
  <si>
    <t>Broker fees (£)</t>
  </si>
  <si>
    <t>Refinance will pay (£)</t>
  </si>
  <si>
    <t>SDLT (£)</t>
  </si>
  <si>
    <t>Auction fees (£)</t>
  </si>
  <si>
    <t>Valuation fees (£)</t>
  </si>
  <si>
    <t>Total purchase costs (£)</t>
  </si>
  <si>
    <t>Refurb (£)</t>
  </si>
  <si>
    <t>Planning (£)</t>
  </si>
  <si>
    <t>Holding costs (£)</t>
  </si>
  <si>
    <t>Total development costs (£)</t>
  </si>
  <si>
    <t>Bridging interest (true cost to exit) (£)</t>
  </si>
  <si>
    <t>Arrangement (2%) and broker (1.5%) (£)</t>
  </si>
  <si>
    <t>Est purchase price (£)</t>
  </si>
  <si>
    <t>Total costs (£)</t>
  </si>
  <si>
    <t>Cash required (£)</t>
  </si>
  <si>
    <t>All in costs (£)</t>
  </si>
  <si>
    <t>Refinance (£)</t>
  </si>
  <si>
    <t>Cash in deal/(cash pulled out) (£)</t>
  </si>
  <si>
    <t>Purchase to Exit</t>
  </si>
  <si>
    <t>Operating Cashflow</t>
  </si>
  <si>
    <t>Annual rental income (£)</t>
  </si>
  <si>
    <t>Monthly rental income (£)</t>
  </si>
  <si>
    <t>Mortgage interest rate (%)</t>
  </si>
  <si>
    <t>Annual mortgage repayment (£)</t>
  </si>
  <si>
    <t>Annual profit (£)</t>
  </si>
  <si>
    <t>Return on Investment (%)</t>
  </si>
  <si>
    <t>Other expenses and voids (£)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</si>
</sst>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#,##0;\(#,###\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i/>
      <u/>
      <sz val="10"/>
      <color theme="1"/>
      <name val="Tahoma"/>
      <family val="2"/>
    </font>
    <font>
      <b/>
      <u/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0" fontId="3" fillId="0" borderId="0" xfId="0" applyFont="1"/>
    <xf numFmtId="164" fontId="3" fillId="2" borderId="0" xfId="1" applyNumberFormat="1" applyFont="1" applyFill="1"/>
    <xf numFmtId="164" fontId="3" fillId="0" borderId="0" xfId="1" applyNumberFormat="1" applyFont="1"/>
    <xf numFmtId="164" fontId="3" fillId="3" borderId="0" xfId="1" applyNumberFormat="1" applyFont="1" applyFill="1"/>
    <xf numFmtId="9" fontId="3" fillId="3" borderId="0" xfId="2" applyFont="1" applyFill="1"/>
    <xf numFmtId="0" fontId="2" fillId="4" borderId="1" xfId="0" applyFont="1" applyFill="1" applyBorder="1"/>
    <xf numFmtId="0" fontId="3" fillId="4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3" fillId="3" borderId="5" xfId="0" applyFont="1" applyFill="1" applyBorder="1"/>
    <xf numFmtId="0" fontId="3" fillId="4" borderId="5" xfId="0" applyFont="1" applyFill="1" applyBorder="1"/>
    <xf numFmtId="164" fontId="3" fillId="3" borderId="6" xfId="1" applyNumberFormat="1" applyFont="1" applyFill="1" applyBorder="1"/>
    <xf numFmtId="164" fontId="3" fillId="4" borderId="4" xfId="1" applyNumberFormat="1" applyFont="1" applyFill="1" applyBorder="1"/>
    <xf numFmtId="164" fontId="3" fillId="4" borderId="0" xfId="1" applyNumberFormat="1" applyFont="1" applyFill="1" applyBorder="1"/>
    <xf numFmtId="164" fontId="3" fillId="3" borderId="0" xfId="1" applyNumberFormat="1" applyFont="1" applyFill="1" applyBorder="1"/>
    <xf numFmtId="0" fontId="3" fillId="4" borderId="7" xfId="0" applyFont="1" applyFill="1" applyBorder="1"/>
    <xf numFmtId="0" fontId="3" fillId="4" borderId="8" xfId="0" applyFont="1" applyFill="1" applyBorder="1"/>
    <xf numFmtId="0" fontId="2" fillId="4" borderId="8" xfId="0" applyFont="1" applyFill="1" applyBorder="1"/>
    <xf numFmtId="0" fontId="3" fillId="4" borderId="9" xfId="0" applyFont="1" applyFill="1" applyBorder="1"/>
    <xf numFmtId="164" fontId="3" fillId="0" borderId="0" xfId="1" applyNumberFormat="1" applyFont="1" applyAlignment="1">
      <alignment horizontal="center"/>
    </xf>
    <xf numFmtId="164" fontId="3" fillId="0" borderId="0" xfId="0" applyNumberFormat="1" applyFont="1"/>
    <xf numFmtId="164" fontId="3" fillId="0" borderId="0" xfId="1" applyNumberFormat="1" applyFont="1" applyFill="1"/>
    <xf numFmtId="0" fontId="4" fillId="0" borderId="0" xfId="0" applyFont="1"/>
    <xf numFmtId="164" fontId="3" fillId="0" borderId="0" xfId="1" applyNumberFormat="1" applyFont="1" applyFill="1" applyBorder="1"/>
    <xf numFmtId="0" fontId="3" fillId="4" borderId="0" xfId="0" applyFont="1" applyFill="1"/>
    <xf numFmtId="0" fontId="2" fillId="4" borderId="0" xfId="0" applyFont="1" applyFill="1"/>
    <xf numFmtId="9" fontId="3" fillId="4" borderId="0" xfId="0" applyNumberFormat="1" applyFont="1" applyFill="1"/>
    <xf numFmtId="164" fontId="3" fillId="4" borderId="0" xfId="1" applyNumberFormat="1" applyFont="1" applyFill="1"/>
    <xf numFmtId="164" fontId="2" fillId="4" borderId="0" xfId="1" applyNumberFormat="1" applyFont="1" applyFill="1"/>
    <xf numFmtId="164" fontId="2" fillId="4" borderId="0" xfId="1" applyNumberFormat="1" applyFont="1" applyFill="1" applyBorder="1"/>
    <xf numFmtId="165" fontId="2" fillId="4" borderId="0" xfId="1" applyNumberFormat="1" applyFont="1" applyFill="1"/>
    <xf numFmtId="43" fontId="3" fillId="3" borderId="0" xfId="1" applyFont="1" applyFill="1"/>
    <xf numFmtId="43" fontId="3" fillId="4" borderId="0" xfId="1" applyFont="1" applyFill="1"/>
    <xf numFmtId="0" fontId="2" fillId="4" borderId="4" xfId="0" applyFont="1" applyFill="1" applyBorder="1"/>
    <xf numFmtId="0" fontId="5" fillId="0" borderId="0" xfId="0" applyFont="1"/>
    <xf numFmtId="43" fontId="2" fillId="0" borderId="0" xfId="0" applyNumberFormat="1" applyFont="1"/>
    <xf numFmtId="10" fontId="2" fillId="0" borderId="0" xfId="2" applyNumberFormat="1" applyFont="1" applyAlignment="1">
      <alignment horizontal="right"/>
    </xf>
    <xf numFmtId="43" fontId="2" fillId="4" borderId="0" xfId="1" applyFont="1" applyFill="1"/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housemetric.co.uk/27930756/CA1-1HQ/23+Chiswick+Street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https://housemetric.co.uk/27930756/CA1-1HQ/23+Chiswick+Stree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304800" cy="304800"/>
    <xdr:sp macro="" textlink="">
      <xdr:nvSpPr>
        <xdr:cNvPr id="4" name="AutoShape 1" descr="photos availabl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AD86F0-DB87-4C1E-A18E-174EAB88B66D}"/>
            </a:ext>
          </a:extLst>
        </xdr:cNvPr>
        <xdr:cNvSpPr>
          <a:spLocks noChangeAspect="1" noChangeArrowheads="1"/>
        </xdr:cNvSpPr>
      </xdr:nvSpPr>
      <xdr:spPr bwMode="auto">
        <a:xfrm>
          <a:off x="0" y="646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</xdr:row>
      <xdr:rowOff>0</xdr:rowOff>
    </xdr:from>
    <xdr:ext cx="304800" cy="304800"/>
    <xdr:sp macro="" textlink="">
      <xdr:nvSpPr>
        <xdr:cNvPr id="5" name="AutoShape 1" descr="photos availabl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ADD29-8B24-4A6C-A054-BE2CB244FFD2}"/>
            </a:ext>
          </a:extLst>
        </xdr:cNvPr>
        <xdr:cNvSpPr>
          <a:spLocks noChangeAspect="1" noChangeArrowheads="1"/>
        </xdr:cNvSpPr>
      </xdr:nvSpPr>
      <xdr:spPr bwMode="auto">
        <a:xfrm>
          <a:off x="0" y="646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13</xdr:row>
      <xdr:rowOff>0</xdr:rowOff>
    </xdr:from>
    <xdr:ext cx="304800" cy="304800"/>
    <xdr:sp macro="" textlink="">
      <xdr:nvSpPr>
        <xdr:cNvPr id="2" name="AutoShape 1" descr="photos availabl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F3D81F-AE1C-4728-A69B-1329F1F46C99}"/>
            </a:ext>
          </a:extLst>
        </xdr:cNvPr>
        <xdr:cNvSpPr>
          <a:spLocks noChangeAspect="1" noChangeArrowheads="1"/>
        </xdr:cNvSpPr>
      </xdr:nvSpPr>
      <xdr:spPr bwMode="auto">
        <a:xfrm>
          <a:off x="0" y="161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13</xdr:row>
      <xdr:rowOff>0</xdr:rowOff>
    </xdr:from>
    <xdr:ext cx="304800" cy="304800"/>
    <xdr:sp macro="" textlink="">
      <xdr:nvSpPr>
        <xdr:cNvPr id="3" name="AutoShape 1" descr="photos availabl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71870B-72D5-4675-94A3-3F752E62FE46}"/>
            </a:ext>
          </a:extLst>
        </xdr:cNvPr>
        <xdr:cNvSpPr>
          <a:spLocks noChangeAspect="1" noChangeArrowheads="1"/>
        </xdr:cNvSpPr>
      </xdr:nvSpPr>
      <xdr:spPr bwMode="auto">
        <a:xfrm>
          <a:off x="0" y="161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</xdr:row>
      <xdr:rowOff>0</xdr:rowOff>
    </xdr:from>
    <xdr:ext cx="304800" cy="304800"/>
    <xdr:sp macro="" textlink="">
      <xdr:nvSpPr>
        <xdr:cNvPr id="6" name="AutoShape 1" descr="photos availabl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DB5E97-CD2A-4965-ADCF-EAB622B52C1D}"/>
            </a:ext>
          </a:extLst>
        </xdr:cNvPr>
        <xdr:cNvSpPr>
          <a:spLocks noChangeAspect="1" noChangeArrowheads="1"/>
        </xdr:cNvSpPr>
      </xdr:nvSpPr>
      <xdr:spPr bwMode="auto">
        <a:xfrm>
          <a:off x="0" y="650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</xdr:row>
      <xdr:rowOff>0</xdr:rowOff>
    </xdr:from>
    <xdr:ext cx="304800" cy="304800"/>
    <xdr:sp macro="" textlink="">
      <xdr:nvSpPr>
        <xdr:cNvPr id="7" name="AutoShape 1" descr="photos availabl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783F44-DE9F-427D-8A1F-CF4DE68E54EE}"/>
            </a:ext>
          </a:extLst>
        </xdr:cNvPr>
        <xdr:cNvSpPr>
          <a:spLocks noChangeAspect="1" noChangeArrowheads="1"/>
        </xdr:cNvSpPr>
      </xdr:nvSpPr>
      <xdr:spPr bwMode="auto">
        <a:xfrm>
          <a:off x="0" y="650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13</xdr:row>
      <xdr:rowOff>0</xdr:rowOff>
    </xdr:from>
    <xdr:ext cx="304800" cy="304800"/>
    <xdr:sp macro="" textlink="">
      <xdr:nvSpPr>
        <xdr:cNvPr id="8" name="AutoShape 1" descr="photos availabl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315FF2-3B34-4E3C-863B-3A8FB0209AA6}"/>
            </a:ext>
          </a:extLst>
        </xdr:cNvPr>
        <xdr:cNvSpPr>
          <a:spLocks noChangeAspect="1" noChangeArrowheads="1"/>
        </xdr:cNvSpPr>
      </xdr:nvSpPr>
      <xdr:spPr bwMode="auto">
        <a:xfrm>
          <a:off x="0" y="15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13</xdr:row>
      <xdr:rowOff>0</xdr:rowOff>
    </xdr:from>
    <xdr:ext cx="304800" cy="304800"/>
    <xdr:sp macro="" textlink="">
      <xdr:nvSpPr>
        <xdr:cNvPr id="9" name="AutoShape 1" descr="photos availabl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A444C3-1AFA-415C-9959-43EBD97ADDDA}"/>
            </a:ext>
          </a:extLst>
        </xdr:cNvPr>
        <xdr:cNvSpPr>
          <a:spLocks noChangeAspect="1" noChangeArrowheads="1"/>
        </xdr:cNvSpPr>
      </xdr:nvSpPr>
      <xdr:spPr bwMode="auto">
        <a:xfrm>
          <a:off x="0" y="15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0</xdr:rowOff>
    </xdr:from>
    <xdr:ext cx="304800" cy="304800"/>
    <xdr:sp macro="" textlink="">
      <xdr:nvSpPr>
        <xdr:cNvPr id="2" name="AutoShape 1" descr="photos availabl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B006C8-8377-4E8C-84C0-C444D7B50D03}"/>
            </a:ext>
          </a:extLst>
        </xdr:cNvPr>
        <xdr:cNvSpPr>
          <a:spLocks noChangeAspect="1" noChangeArrowheads="1"/>
        </xdr:cNvSpPr>
      </xdr:nvSpPr>
      <xdr:spPr bwMode="auto">
        <a:xfrm>
          <a:off x="0" y="645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304800" cy="304800"/>
    <xdr:sp macro="" textlink="">
      <xdr:nvSpPr>
        <xdr:cNvPr id="3" name="AutoShape 1" descr="photos availabl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6E2619-6299-44F6-B3B4-69CF27F58BC8}"/>
            </a:ext>
          </a:extLst>
        </xdr:cNvPr>
        <xdr:cNvSpPr>
          <a:spLocks noChangeAspect="1" noChangeArrowheads="1"/>
        </xdr:cNvSpPr>
      </xdr:nvSpPr>
      <xdr:spPr bwMode="auto">
        <a:xfrm>
          <a:off x="0" y="645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304800" cy="304800"/>
    <xdr:sp macro="" textlink="">
      <xdr:nvSpPr>
        <xdr:cNvPr id="4" name="AutoShape 1" descr="photos availabl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2E162A-C725-46C2-BF52-FE66B5FD00FB}"/>
            </a:ext>
          </a:extLst>
        </xdr:cNvPr>
        <xdr:cNvSpPr>
          <a:spLocks noChangeAspect="1" noChangeArrowheads="1"/>
        </xdr:cNvSpPr>
      </xdr:nvSpPr>
      <xdr:spPr bwMode="auto">
        <a:xfrm>
          <a:off x="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304800" cy="304800"/>
    <xdr:sp macro="" textlink="">
      <xdr:nvSpPr>
        <xdr:cNvPr id="5" name="AutoShape 1" descr="photos availabl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9C32F8-FBFD-480E-B39E-7FA17273E20C}"/>
            </a:ext>
          </a:extLst>
        </xdr:cNvPr>
        <xdr:cNvSpPr>
          <a:spLocks noChangeAspect="1" noChangeArrowheads="1"/>
        </xdr:cNvSpPr>
      </xdr:nvSpPr>
      <xdr:spPr bwMode="auto">
        <a:xfrm>
          <a:off x="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304800" cy="304800"/>
    <xdr:sp macro="" textlink="">
      <xdr:nvSpPr>
        <xdr:cNvPr id="6" name="AutoShape 1" descr="photos availabl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7857A8-14E3-41B1-9625-E8C2E5B6EB29}"/>
            </a:ext>
          </a:extLst>
        </xdr:cNvPr>
        <xdr:cNvSpPr>
          <a:spLocks noChangeAspect="1" noChangeArrowheads="1"/>
        </xdr:cNvSpPr>
      </xdr:nvSpPr>
      <xdr:spPr bwMode="auto">
        <a:xfrm>
          <a:off x="0" y="15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304800" cy="304800"/>
    <xdr:sp macro="" textlink="">
      <xdr:nvSpPr>
        <xdr:cNvPr id="7" name="AutoShape 1" descr="photos availabl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5D83A5-0211-4FA8-83E2-060F10DEAB4F}"/>
            </a:ext>
          </a:extLst>
        </xdr:cNvPr>
        <xdr:cNvSpPr>
          <a:spLocks noChangeAspect="1" noChangeArrowheads="1"/>
        </xdr:cNvSpPr>
      </xdr:nvSpPr>
      <xdr:spPr bwMode="auto">
        <a:xfrm>
          <a:off x="0" y="15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4800"/>
    <xdr:sp macro="" textlink="">
      <xdr:nvSpPr>
        <xdr:cNvPr id="8" name="AutoShape 1" descr="photos availabl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5BBAA7-ED3D-4D34-9998-7E25A4821DB9}"/>
            </a:ext>
          </a:extLst>
        </xdr:cNvPr>
        <xdr:cNvSpPr>
          <a:spLocks noChangeAspect="1" noChangeArrowheads="1"/>
        </xdr:cNvSpPr>
      </xdr:nvSpPr>
      <xdr:spPr bwMode="auto">
        <a:xfrm>
          <a:off x="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304800" cy="304800"/>
    <xdr:sp macro="" textlink="">
      <xdr:nvSpPr>
        <xdr:cNvPr id="9" name="AutoShape 1" descr="photos availabl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CB5FDA-7D13-4985-B713-68A360FBAD62}"/>
            </a:ext>
          </a:extLst>
        </xdr:cNvPr>
        <xdr:cNvSpPr>
          <a:spLocks noChangeAspect="1" noChangeArrowheads="1"/>
        </xdr:cNvSpPr>
      </xdr:nvSpPr>
      <xdr:spPr bwMode="auto">
        <a:xfrm>
          <a:off x="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304800" cy="304800"/>
    <xdr:sp macro="" textlink="">
      <xdr:nvSpPr>
        <xdr:cNvPr id="10" name="AutoShape 1" descr="photos availabl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368758-3808-4493-8DBE-BC78230F60E5}"/>
            </a:ext>
          </a:extLst>
        </xdr:cNvPr>
        <xdr:cNvSpPr>
          <a:spLocks noChangeAspect="1" noChangeArrowheads="1"/>
        </xdr:cNvSpPr>
      </xdr:nvSpPr>
      <xdr:spPr bwMode="auto">
        <a:xfrm>
          <a:off x="0" y="15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304800" cy="304800"/>
    <xdr:sp macro="" textlink="">
      <xdr:nvSpPr>
        <xdr:cNvPr id="11" name="AutoShape 1" descr="photos availabl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4F95E2-2D6D-419E-8879-CB3AC1E2EB61}"/>
            </a:ext>
          </a:extLst>
        </xdr:cNvPr>
        <xdr:cNvSpPr>
          <a:spLocks noChangeAspect="1" noChangeArrowheads="1"/>
        </xdr:cNvSpPr>
      </xdr:nvSpPr>
      <xdr:spPr bwMode="auto">
        <a:xfrm>
          <a:off x="0" y="15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304800" cy="304800"/>
    <xdr:sp macro="" textlink="">
      <xdr:nvSpPr>
        <xdr:cNvPr id="12" name="AutoShape 1" descr="photos availabl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FD4C3E-83B2-4783-90A7-80CBBBC527C3}"/>
            </a:ext>
          </a:extLst>
        </xdr:cNvPr>
        <xdr:cNvSpPr>
          <a:spLocks noChangeAspect="1" noChangeArrowheads="1"/>
        </xdr:cNvSpPr>
      </xdr:nvSpPr>
      <xdr:spPr bwMode="auto">
        <a:xfrm>
          <a:off x="0" y="161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304800" cy="304800"/>
    <xdr:sp macro="" textlink="">
      <xdr:nvSpPr>
        <xdr:cNvPr id="13" name="AutoShape 1" descr="photos availabl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734640-A9A3-4379-8398-43F6B242B117}"/>
            </a:ext>
          </a:extLst>
        </xdr:cNvPr>
        <xdr:cNvSpPr>
          <a:spLocks noChangeAspect="1" noChangeArrowheads="1"/>
        </xdr:cNvSpPr>
      </xdr:nvSpPr>
      <xdr:spPr bwMode="auto">
        <a:xfrm>
          <a:off x="0" y="161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304800" cy="304800"/>
    <xdr:sp macro="" textlink="">
      <xdr:nvSpPr>
        <xdr:cNvPr id="14" name="AutoShape 1" descr="photos availabl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A20816-3C27-4C95-96A9-CEBD52B5B6C7}"/>
            </a:ext>
          </a:extLst>
        </xdr:cNvPr>
        <xdr:cNvSpPr>
          <a:spLocks noChangeAspect="1" noChangeArrowheads="1"/>
        </xdr:cNvSpPr>
      </xdr:nvSpPr>
      <xdr:spPr bwMode="auto">
        <a:xfrm>
          <a:off x="0" y="161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304800" cy="304800"/>
    <xdr:sp macro="" textlink="">
      <xdr:nvSpPr>
        <xdr:cNvPr id="15" name="AutoShape 1" descr="photos availabl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814AE8-F5AC-4CEE-83C4-9F054A51EF97}"/>
            </a:ext>
          </a:extLst>
        </xdr:cNvPr>
        <xdr:cNvSpPr>
          <a:spLocks noChangeAspect="1" noChangeArrowheads="1"/>
        </xdr:cNvSpPr>
      </xdr:nvSpPr>
      <xdr:spPr bwMode="auto">
        <a:xfrm>
          <a:off x="0" y="161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4910F-5CA3-48FD-8A97-5F9C11706B01}">
  <dimension ref="A1:N67"/>
  <sheetViews>
    <sheetView tabSelected="1" zoomScaleNormal="100" workbookViewId="0">
      <selection activeCell="B1" sqref="B1"/>
    </sheetView>
  </sheetViews>
  <sheetFormatPr defaultColWidth="8.7109375" defaultRowHeight="12.75" x14ac:dyDescent="0.2"/>
  <cols>
    <col min="1" max="1" width="35.42578125" style="2" customWidth="1"/>
    <col min="2" max="2" width="12.7109375" style="2" bestFit="1" customWidth="1"/>
    <col min="3" max="3" width="11.28515625" style="2" customWidth="1"/>
    <col min="4" max="4" width="10.28515625" style="2" bestFit="1" customWidth="1"/>
    <col min="5" max="5" width="10.42578125" style="2" bestFit="1" customWidth="1"/>
    <col min="6" max="6" width="11.140625" style="2" bestFit="1" customWidth="1"/>
    <col min="7" max="7" width="11" style="2" hidden="1" customWidth="1"/>
    <col min="8" max="8" width="15.42578125" style="2" bestFit="1" customWidth="1"/>
    <col min="9" max="9" width="12.5703125" style="2" bestFit="1" customWidth="1"/>
    <col min="10" max="11" width="8.85546875" style="2" bestFit="1" customWidth="1"/>
    <col min="12" max="12" width="8.7109375" style="2"/>
    <col min="13" max="13" width="8.85546875" style="2" bestFit="1" customWidth="1"/>
    <col min="14" max="16384" width="8.7109375" style="2"/>
  </cols>
  <sheetData>
    <row r="1" spans="1:7" x14ac:dyDescent="0.2">
      <c r="A1" s="1" t="s">
        <v>0</v>
      </c>
      <c r="B1" s="3"/>
      <c r="D1" s="33" t="s">
        <v>47</v>
      </c>
    </row>
    <row r="2" spans="1:7" x14ac:dyDescent="0.2">
      <c r="A2" s="1" t="s">
        <v>1</v>
      </c>
      <c r="B2" s="3"/>
      <c r="D2" s="34" t="s">
        <v>48</v>
      </c>
    </row>
    <row r="3" spans="1:7" x14ac:dyDescent="0.2">
      <c r="B3" s="4"/>
    </row>
    <row r="4" spans="1:7" x14ac:dyDescent="0.2">
      <c r="A4" s="2" t="s">
        <v>2</v>
      </c>
      <c r="B4" s="4"/>
    </row>
    <row r="5" spans="1:7" x14ac:dyDescent="0.2">
      <c r="B5" s="4"/>
      <c r="G5" s="2" t="s">
        <v>4</v>
      </c>
    </row>
    <row r="6" spans="1:7" x14ac:dyDescent="0.2">
      <c r="A6" s="36" t="s">
        <v>83</v>
      </c>
      <c r="B6" s="4"/>
    </row>
    <row r="7" spans="1:7" x14ac:dyDescent="0.2">
      <c r="B7" s="4"/>
    </row>
    <row r="8" spans="1:7" x14ac:dyDescent="0.2">
      <c r="A8" s="1" t="s">
        <v>16</v>
      </c>
      <c r="B8" s="4"/>
    </row>
    <row r="9" spans="1:7" x14ac:dyDescent="0.2">
      <c r="A9" s="2" t="s">
        <v>3</v>
      </c>
      <c r="B9" s="5" t="s">
        <v>4</v>
      </c>
      <c r="G9" s="2" t="s">
        <v>5</v>
      </c>
    </row>
    <row r="10" spans="1:7" x14ac:dyDescent="0.2">
      <c r="B10" s="23"/>
    </row>
    <row r="11" spans="1:7" x14ac:dyDescent="0.2">
      <c r="A11" s="24" t="s">
        <v>31</v>
      </c>
      <c r="B11" s="4"/>
    </row>
    <row r="12" spans="1:7" x14ac:dyDescent="0.2">
      <c r="A12" s="2" t="s">
        <v>56</v>
      </c>
      <c r="B12" s="33"/>
    </row>
    <row r="13" spans="1:7" x14ac:dyDescent="0.2">
      <c r="A13" s="2" t="s">
        <v>57</v>
      </c>
      <c r="B13" s="6"/>
    </row>
    <row r="14" spans="1:7" x14ac:dyDescent="0.2">
      <c r="A14" s="2" t="s">
        <v>58</v>
      </c>
      <c r="B14" s="6"/>
    </row>
    <row r="15" spans="1:7" x14ac:dyDescent="0.2">
      <c r="A15" s="2" t="s">
        <v>59</v>
      </c>
      <c r="B15" s="15">
        <f>B32-B16</f>
        <v>0</v>
      </c>
      <c r="C15" s="2" t="s">
        <v>7</v>
      </c>
    </row>
    <row r="16" spans="1:7" x14ac:dyDescent="0.2">
      <c r="A16" s="2" t="s">
        <v>60</v>
      </c>
      <c r="B16" s="29">
        <f>B12*B13</f>
        <v>0</v>
      </c>
      <c r="C16" s="2" t="s">
        <v>7</v>
      </c>
    </row>
    <row r="17" spans="1:14" x14ac:dyDescent="0.2">
      <c r="A17" s="2" t="s">
        <v>61</v>
      </c>
      <c r="B17" s="29">
        <f>B16-B19</f>
        <v>0</v>
      </c>
      <c r="C17" s="2" t="s">
        <v>7</v>
      </c>
    </row>
    <row r="18" spans="1:14" x14ac:dyDescent="0.2">
      <c r="A18" s="2" t="s">
        <v>54</v>
      </c>
      <c r="B18" s="5"/>
    </row>
    <row r="19" spans="1:14" x14ac:dyDescent="0.2">
      <c r="A19" s="2" t="s">
        <v>36</v>
      </c>
      <c r="B19" s="29">
        <f>(B16*B14*B18)+B47</f>
        <v>0</v>
      </c>
      <c r="C19" s="2" t="s">
        <v>7</v>
      </c>
      <c r="D19" s="22"/>
    </row>
    <row r="20" spans="1:14" x14ac:dyDescent="0.2">
      <c r="A20" s="2" t="s">
        <v>55</v>
      </c>
      <c r="B20" s="5"/>
    </row>
    <row r="21" spans="1:14" x14ac:dyDescent="0.2">
      <c r="B21" s="23"/>
    </row>
    <row r="22" spans="1:14" ht="13.5" thickBot="1" x14ac:dyDescent="0.25">
      <c r="B22" s="23"/>
    </row>
    <row r="23" spans="1:14" x14ac:dyDescent="0.2">
      <c r="A23" s="1" t="s">
        <v>6</v>
      </c>
      <c r="B23" s="4"/>
      <c r="H23" s="7" t="s">
        <v>49</v>
      </c>
      <c r="I23" s="8"/>
      <c r="J23" s="8"/>
      <c r="K23" s="8"/>
      <c r="L23" s="8"/>
      <c r="M23" s="9"/>
    </row>
    <row r="24" spans="1:14" x14ac:dyDescent="0.2">
      <c r="A24" s="2" t="s">
        <v>62</v>
      </c>
      <c r="B24" s="5"/>
      <c r="H24" s="35" t="s">
        <v>10</v>
      </c>
      <c r="I24" s="26"/>
      <c r="J24" s="26"/>
      <c r="K24" s="26" t="s">
        <v>11</v>
      </c>
      <c r="L24" s="26"/>
      <c r="M24" s="11"/>
      <c r="N24" s="2" t="s">
        <v>51</v>
      </c>
    </row>
    <row r="25" spans="1:14" x14ac:dyDescent="0.2">
      <c r="A25" s="2" t="s">
        <v>63</v>
      </c>
      <c r="B25" s="6"/>
      <c r="H25" s="10"/>
      <c r="I25" s="26"/>
      <c r="J25" s="26"/>
      <c r="K25" s="26"/>
      <c r="L25" s="26"/>
      <c r="M25" s="12"/>
    </row>
    <row r="26" spans="1:14" x14ac:dyDescent="0.2">
      <c r="A26" s="2" t="s">
        <v>64</v>
      </c>
      <c r="B26" s="5"/>
      <c r="H26" s="10" t="s">
        <v>13</v>
      </c>
      <c r="I26" s="26" t="s">
        <v>14</v>
      </c>
      <c r="J26" s="26" t="s">
        <v>15</v>
      </c>
      <c r="K26" s="26" t="s">
        <v>16</v>
      </c>
      <c r="L26" s="26"/>
      <c r="M26" s="12"/>
    </row>
    <row r="27" spans="1:14" x14ac:dyDescent="0.2">
      <c r="A27" s="2" t="s">
        <v>65</v>
      </c>
      <c r="B27" s="5"/>
      <c r="H27" s="14">
        <v>125000</v>
      </c>
      <c r="I27" s="15">
        <f>H27</f>
        <v>125000</v>
      </c>
      <c r="J27" s="28">
        <v>0.05</v>
      </c>
      <c r="K27" s="26">
        <f>IF(M24&gt;125000, H27*J27, M24*J27)</f>
        <v>0</v>
      </c>
      <c r="L27" s="26"/>
      <c r="M27" s="12"/>
    </row>
    <row r="28" spans="1:14" x14ac:dyDescent="0.2">
      <c r="A28" s="2" t="s">
        <v>66</v>
      </c>
      <c r="B28" s="29">
        <f>(B24*B25)-B26-B27</f>
        <v>0</v>
      </c>
      <c r="C28" s="2" t="s">
        <v>7</v>
      </c>
      <c r="H28" s="14">
        <v>125000</v>
      </c>
      <c r="I28" s="15">
        <f>I27+H28</f>
        <v>250000</v>
      </c>
      <c r="J28" s="28">
        <v>7.0000000000000007E-2</v>
      </c>
      <c r="K28" s="26">
        <f>IF(M24&gt;I28,H28*J28,(IF(M24&lt;I27,0,M24-I27)*J28))</f>
        <v>0</v>
      </c>
      <c r="L28" s="26"/>
      <c r="M28" s="12"/>
    </row>
    <row r="29" spans="1:14" x14ac:dyDescent="0.2">
      <c r="B29" s="4"/>
      <c r="H29" s="14">
        <v>675000</v>
      </c>
      <c r="I29" s="15">
        <f>I28+H29</f>
        <v>925000</v>
      </c>
      <c r="J29" s="28">
        <v>0.1</v>
      </c>
      <c r="K29" s="26">
        <f>IF(M24&gt;I29,H29*J29,(IF(M24&lt;I28,0,M24-I28)*J29))</f>
        <v>0</v>
      </c>
      <c r="L29" s="26"/>
      <c r="M29" s="12"/>
    </row>
    <row r="30" spans="1:14" x14ac:dyDescent="0.2">
      <c r="A30" s="1" t="s">
        <v>8</v>
      </c>
      <c r="B30" s="4"/>
      <c r="H30" s="14">
        <v>925000</v>
      </c>
      <c r="I30" s="29">
        <v>1500000</v>
      </c>
      <c r="J30" s="28">
        <v>0.15</v>
      </c>
      <c r="K30" s="26">
        <f>IF(M24&gt;I30,H30*J30,(IF(M24&lt;I29,0,M24-I29)*J30))</f>
        <v>0</v>
      </c>
      <c r="L30" s="26"/>
      <c r="M30" s="12"/>
      <c r="N30" s="2" t="s">
        <v>52</v>
      </c>
    </row>
    <row r="31" spans="1:14" x14ac:dyDescent="0.2">
      <c r="A31" s="24" t="s">
        <v>39</v>
      </c>
      <c r="B31" s="4"/>
      <c r="H31" s="10"/>
      <c r="I31" s="26"/>
      <c r="J31" s="26"/>
      <c r="K31" s="27">
        <f>SUM(K27:K30)</f>
        <v>0</v>
      </c>
      <c r="L31" s="26"/>
      <c r="M31" s="12"/>
    </row>
    <row r="32" spans="1:14" x14ac:dyDescent="0.2">
      <c r="A32" s="2" t="s">
        <v>77</v>
      </c>
      <c r="B32" s="5"/>
      <c r="C32" s="2" t="str">
        <f>IF(B32-M35-M24=0, "SDLT correct", "Update SDLT calculator")</f>
        <v>SDLT correct</v>
      </c>
      <c r="H32" s="10"/>
      <c r="I32" s="26"/>
      <c r="J32" s="26"/>
      <c r="K32" s="26"/>
      <c r="L32" s="26"/>
      <c r="M32" s="12"/>
    </row>
    <row r="33" spans="1:14" x14ac:dyDescent="0.2">
      <c r="B33" s="23"/>
      <c r="H33" s="35" t="s">
        <v>19</v>
      </c>
      <c r="I33" s="26"/>
      <c r="J33" s="26"/>
      <c r="K33" s="26"/>
      <c r="L33" s="26"/>
      <c r="M33" s="12"/>
    </row>
    <row r="34" spans="1:14" x14ac:dyDescent="0.2">
      <c r="A34" s="2" t="s">
        <v>67</v>
      </c>
      <c r="B34" s="29">
        <f>K31+K40</f>
        <v>0</v>
      </c>
      <c r="C34" s="2" t="s">
        <v>7</v>
      </c>
      <c r="H34" s="10" t="s">
        <v>13</v>
      </c>
      <c r="I34" s="26" t="s">
        <v>14</v>
      </c>
      <c r="J34" s="26" t="s">
        <v>15</v>
      </c>
      <c r="K34" s="26" t="s">
        <v>16</v>
      </c>
      <c r="L34" s="26"/>
      <c r="M34" s="12"/>
    </row>
    <row r="35" spans="1:14" x14ac:dyDescent="0.2">
      <c r="A35" s="2" t="s">
        <v>68</v>
      </c>
      <c r="B35" s="16"/>
      <c r="H35" s="35"/>
      <c r="I35" s="26"/>
      <c r="J35" s="26"/>
      <c r="K35" s="26" t="s">
        <v>20</v>
      </c>
      <c r="L35" s="26"/>
      <c r="M35" s="11"/>
      <c r="N35" s="2" t="s">
        <v>51</v>
      </c>
    </row>
    <row r="36" spans="1:14" x14ac:dyDescent="0.2">
      <c r="A36" s="2" t="s">
        <v>69</v>
      </c>
      <c r="B36" s="5"/>
      <c r="H36" s="10"/>
      <c r="I36" s="26"/>
      <c r="J36" s="26"/>
      <c r="K36" s="26"/>
      <c r="L36" s="26"/>
      <c r="M36" s="12"/>
    </row>
    <row r="37" spans="1:14" x14ac:dyDescent="0.2">
      <c r="A37" s="2" t="s">
        <v>64</v>
      </c>
      <c r="B37" s="13"/>
      <c r="H37" s="14">
        <v>150000</v>
      </c>
      <c r="I37" s="15">
        <f>H37</f>
        <v>150000</v>
      </c>
      <c r="J37" s="28">
        <v>0</v>
      </c>
      <c r="K37" s="26">
        <f>IF(M35&gt;250000, H37*J37, M35*J37)</f>
        <v>0</v>
      </c>
      <c r="L37" s="26"/>
      <c r="M37" s="12"/>
    </row>
    <row r="38" spans="1:14" x14ac:dyDescent="0.2">
      <c r="A38" s="2" t="s">
        <v>70</v>
      </c>
      <c r="B38" s="31">
        <f>SUM(B34:B37)</f>
        <v>0</v>
      </c>
      <c r="H38" s="14">
        <v>100000</v>
      </c>
      <c r="I38" s="15">
        <f>I37+H38</f>
        <v>250000</v>
      </c>
      <c r="J38" s="28">
        <v>0.02</v>
      </c>
      <c r="K38" s="26">
        <f>IF(M35&gt;I38,H38*J38,(IF(M35&lt;I37,0,M35-I37)*J38))</f>
        <v>0</v>
      </c>
      <c r="L38" s="26"/>
      <c r="M38" s="12"/>
    </row>
    <row r="39" spans="1:14" x14ac:dyDescent="0.2">
      <c r="A39" s="24" t="s">
        <v>38</v>
      </c>
      <c r="B39" s="25"/>
      <c r="H39" s="14">
        <v>1250000</v>
      </c>
      <c r="I39" s="15">
        <f>I38+H39</f>
        <v>1500000</v>
      </c>
      <c r="J39" s="28">
        <v>0.05</v>
      </c>
      <c r="K39" s="26">
        <f>IF(M35&gt;I39,H39*J39,(IF(M35&lt;I38,0,M35-I38)*J39))</f>
        <v>0</v>
      </c>
      <c r="L39" s="26"/>
      <c r="M39" s="12"/>
    </row>
    <row r="40" spans="1:14" ht="13.5" thickBot="1" x14ac:dyDescent="0.25">
      <c r="A40" s="2" t="s">
        <v>71</v>
      </c>
      <c r="B40" s="5"/>
      <c r="H40" s="17"/>
      <c r="I40" s="18"/>
      <c r="J40" s="18"/>
      <c r="K40" s="19">
        <f>SUM(K37:K39)</f>
        <v>0</v>
      </c>
      <c r="L40" s="18"/>
      <c r="M40" s="20"/>
    </row>
    <row r="41" spans="1:14" x14ac:dyDescent="0.2">
      <c r="A41" s="2" t="s">
        <v>72</v>
      </c>
      <c r="B41" s="5"/>
    </row>
    <row r="42" spans="1:14" x14ac:dyDescent="0.2">
      <c r="A42" s="2" t="s">
        <v>73</v>
      </c>
      <c r="B42" s="13"/>
    </row>
    <row r="43" spans="1:14" x14ac:dyDescent="0.2">
      <c r="A43" s="2" t="s">
        <v>74</v>
      </c>
      <c r="B43" s="30">
        <f>SUM(B40:B42)</f>
        <v>0</v>
      </c>
      <c r="C43" s="2" t="s">
        <v>7</v>
      </c>
    </row>
    <row r="44" spans="1:14" x14ac:dyDescent="0.2">
      <c r="B44" s="25"/>
    </row>
    <row r="45" spans="1:14" x14ac:dyDescent="0.2">
      <c r="A45" s="24" t="s">
        <v>31</v>
      </c>
      <c r="B45" s="25"/>
    </row>
    <row r="46" spans="1:14" x14ac:dyDescent="0.2">
      <c r="A46" s="2" t="s">
        <v>75</v>
      </c>
      <c r="B46" s="29">
        <f>B16*B14*B20</f>
        <v>0</v>
      </c>
      <c r="C46" s="2" t="s">
        <v>7</v>
      </c>
    </row>
    <row r="47" spans="1:14" x14ac:dyDescent="0.2">
      <c r="A47" s="2" t="s">
        <v>76</v>
      </c>
      <c r="B47" s="29">
        <f>B16*0.035</f>
        <v>0</v>
      </c>
      <c r="C47" s="2" t="s">
        <v>7</v>
      </c>
    </row>
    <row r="48" spans="1:14" x14ac:dyDescent="0.2">
      <c r="B48" s="29"/>
    </row>
    <row r="49" spans="1:3" x14ac:dyDescent="0.2">
      <c r="A49" s="1" t="s">
        <v>78</v>
      </c>
      <c r="B49" s="30">
        <f>B43+B38+B32+B47+B46+B27+B26</f>
        <v>0</v>
      </c>
      <c r="C49" s="2" t="s">
        <v>7</v>
      </c>
    </row>
    <row r="50" spans="1:3" x14ac:dyDescent="0.2">
      <c r="B50" s="4"/>
    </row>
    <row r="51" spans="1:3" x14ac:dyDescent="0.2">
      <c r="A51" s="2" t="s">
        <v>79</v>
      </c>
      <c r="B51" s="30">
        <f>B15+B19+B43+B38</f>
        <v>0</v>
      </c>
    </row>
    <row r="52" spans="1:3" x14ac:dyDescent="0.2">
      <c r="B52" s="4"/>
    </row>
    <row r="53" spans="1:3" x14ac:dyDescent="0.2">
      <c r="A53" s="1" t="s">
        <v>21</v>
      </c>
      <c r="B53" s="4"/>
    </row>
    <row r="54" spans="1:3" x14ac:dyDescent="0.2">
      <c r="A54" s="2" t="s">
        <v>80</v>
      </c>
      <c r="B54" s="29">
        <f>B49</f>
        <v>0</v>
      </c>
    </row>
    <row r="55" spans="1:3" x14ac:dyDescent="0.2">
      <c r="A55" s="2" t="s">
        <v>81</v>
      </c>
      <c r="B55" s="29">
        <f>B28</f>
        <v>0</v>
      </c>
    </row>
    <row r="56" spans="1:3" x14ac:dyDescent="0.2">
      <c r="A56" s="1" t="s">
        <v>82</v>
      </c>
      <c r="B56" s="39">
        <f>B54-B55</f>
        <v>0</v>
      </c>
    </row>
    <row r="57" spans="1:3" x14ac:dyDescent="0.2">
      <c r="B57" s="21"/>
    </row>
    <row r="58" spans="1:3" x14ac:dyDescent="0.2">
      <c r="B58" s="21"/>
    </row>
    <row r="59" spans="1:3" x14ac:dyDescent="0.2">
      <c r="A59" s="36" t="s">
        <v>84</v>
      </c>
      <c r="B59" s="4"/>
    </row>
    <row r="60" spans="1:3" x14ac:dyDescent="0.2">
      <c r="A60" s="2" t="s">
        <v>86</v>
      </c>
      <c r="B60" s="5"/>
    </row>
    <row r="61" spans="1:3" x14ac:dyDescent="0.2">
      <c r="A61" s="2" t="s">
        <v>85</v>
      </c>
      <c r="B61" s="29">
        <f>B60*12</f>
        <v>0</v>
      </c>
      <c r="C61" s="2" t="s">
        <v>7</v>
      </c>
    </row>
    <row r="62" spans="1:3" x14ac:dyDescent="0.2">
      <c r="A62" s="2" t="s">
        <v>87</v>
      </c>
      <c r="B62" s="6"/>
    </row>
    <row r="63" spans="1:3" x14ac:dyDescent="0.2">
      <c r="A63" s="2" t="s">
        <v>88</v>
      </c>
      <c r="B63" s="34">
        <f>B62*B55</f>
        <v>0</v>
      </c>
      <c r="C63" s="2" t="s">
        <v>7</v>
      </c>
    </row>
    <row r="64" spans="1:3" x14ac:dyDescent="0.2">
      <c r="A64" s="2" t="s">
        <v>91</v>
      </c>
      <c r="B64" s="34">
        <f>B61*0.05</f>
        <v>0</v>
      </c>
      <c r="C64" s="2" t="s">
        <v>7</v>
      </c>
    </row>
    <row r="65" spans="1:2" x14ac:dyDescent="0.2">
      <c r="B65" s="22"/>
    </row>
    <row r="66" spans="1:2" x14ac:dyDescent="0.2">
      <c r="A66" s="1" t="s">
        <v>89</v>
      </c>
      <c r="B66" s="37">
        <f>B61-B63-B64</f>
        <v>0</v>
      </c>
    </row>
    <row r="67" spans="1:2" x14ac:dyDescent="0.2">
      <c r="A67" s="1" t="s">
        <v>90</v>
      </c>
      <c r="B67" s="38" t="str">
        <f>IF(B56&gt;0, B66/B56, "INFINITE")</f>
        <v>INFINITE</v>
      </c>
    </row>
  </sheetData>
  <conditionalFormatting sqref="C32:C33">
    <cfRule type="containsText" dxfId="1" priority="1" operator="containsText" text="Update SDLT calculator">
      <formula>NOT(ISERROR(SEARCH("Update SDLT calculator",C32)))</formula>
    </cfRule>
  </conditionalFormatting>
  <dataValidations count="1">
    <dataValidation type="list" allowBlank="1" showInputMessage="1" showErrorMessage="1" sqref="B9:B10" xr:uid="{A7142315-E948-408F-AC87-93360222D118}">
      <formula1>$G$5:$G$9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30089-A4B2-452D-BE15-8B494CC367B9}">
  <dimension ref="A1:N61"/>
  <sheetViews>
    <sheetView topLeftCell="A16" workbookViewId="0">
      <selection activeCell="B36" sqref="B36"/>
    </sheetView>
  </sheetViews>
  <sheetFormatPr defaultColWidth="8.7109375" defaultRowHeight="12.75" x14ac:dyDescent="0.2"/>
  <cols>
    <col min="1" max="1" width="34.140625" style="2" bestFit="1" customWidth="1"/>
    <col min="2" max="2" width="11.7109375" style="2" bestFit="1" customWidth="1"/>
    <col min="3" max="3" width="11.28515625" style="2" customWidth="1"/>
    <col min="4" max="4" width="10.28515625" style="2" bestFit="1" customWidth="1"/>
    <col min="5" max="5" width="10.42578125" style="2" bestFit="1" customWidth="1"/>
    <col min="6" max="6" width="11.140625" style="2" bestFit="1" customWidth="1"/>
    <col min="7" max="7" width="11" style="2" hidden="1" customWidth="1"/>
    <col min="8" max="8" width="15.5703125" style="2" bestFit="1" customWidth="1"/>
    <col min="9" max="9" width="12.7109375" style="2" bestFit="1" customWidth="1"/>
    <col min="10" max="11" width="8.85546875" style="2" bestFit="1" customWidth="1"/>
    <col min="12" max="12" width="8.7109375" style="2"/>
    <col min="13" max="13" width="9.85546875" style="2" bestFit="1" customWidth="1"/>
    <col min="14" max="16384" width="8.7109375" style="2"/>
  </cols>
  <sheetData>
    <row r="1" spans="1:7" x14ac:dyDescent="0.2">
      <c r="A1" s="1" t="s">
        <v>0</v>
      </c>
      <c r="B1" s="3"/>
      <c r="D1" s="33" t="s">
        <v>47</v>
      </c>
    </row>
    <row r="2" spans="1:7" x14ac:dyDescent="0.2">
      <c r="A2" s="1" t="s">
        <v>1</v>
      </c>
      <c r="B2" s="3"/>
      <c r="D2" s="34" t="s">
        <v>48</v>
      </c>
    </row>
    <row r="3" spans="1:7" x14ac:dyDescent="0.2">
      <c r="B3" s="4"/>
    </row>
    <row r="4" spans="1:7" x14ac:dyDescent="0.2">
      <c r="A4" s="2" t="s">
        <v>2</v>
      </c>
      <c r="B4" s="4"/>
    </row>
    <row r="5" spans="1:7" x14ac:dyDescent="0.2">
      <c r="B5" s="4"/>
      <c r="G5" s="2" t="s">
        <v>4</v>
      </c>
    </row>
    <row r="6" spans="1:7" x14ac:dyDescent="0.2">
      <c r="A6" s="1" t="s">
        <v>34</v>
      </c>
      <c r="B6" s="4"/>
    </row>
    <row r="7" spans="1:7" x14ac:dyDescent="0.2">
      <c r="A7" s="2" t="s">
        <v>3</v>
      </c>
      <c r="B7" s="5" t="s">
        <v>4</v>
      </c>
      <c r="G7" s="2" t="s">
        <v>5</v>
      </c>
    </row>
    <row r="8" spans="1:7" x14ac:dyDescent="0.2">
      <c r="B8" s="23"/>
    </row>
    <row r="9" spans="1:7" x14ac:dyDescent="0.2">
      <c r="A9" s="24" t="s">
        <v>31</v>
      </c>
      <c r="B9" s="4"/>
    </row>
    <row r="10" spans="1:7" x14ac:dyDescent="0.2">
      <c r="A10" s="2" t="s">
        <v>53</v>
      </c>
      <c r="B10" s="6"/>
    </row>
    <row r="11" spans="1:7" x14ac:dyDescent="0.2">
      <c r="A11" s="2" t="s">
        <v>32</v>
      </c>
      <c r="B11" s="6"/>
    </row>
    <row r="12" spans="1:7" x14ac:dyDescent="0.2">
      <c r="A12" s="2" t="s">
        <v>45</v>
      </c>
      <c r="B12" s="5"/>
    </row>
    <row r="13" spans="1:7" x14ac:dyDescent="0.2">
      <c r="A13" s="2" t="s">
        <v>35</v>
      </c>
      <c r="B13" s="5"/>
    </row>
    <row r="14" spans="1:7" x14ac:dyDescent="0.2">
      <c r="B14" s="23"/>
    </row>
    <row r="15" spans="1:7" x14ac:dyDescent="0.2">
      <c r="B15" s="23"/>
    </row>
    <row r="16" spans="1:7" ht="13.5" thickBot="1" x14ac:dyDescent="0.25">
      <c r="A16" s="1" t="s">
        <v>6</v>
      </c>
      <c r="B16" s="4"/>
    </row>
    <row r="17" spans="1:14" x14ac:dyDescent="0.2">
      <c r="A17" s="2" t="s">
        <v>42</v>
      </c>
      <c r="B17" s="5"/>
      <c r="H17" s="7" t="s">
        <v>49</v>
      </c>
      <c r="I17" s="8"/>
      <c r="J17" s="8"/>
      <c r="K17" s="8"/>
      <c r="L17" s="8"/>
      <c r="M17" s="9"/>
    </row>
    <row r="18" spans="1:14" x14ac:dyDescent="0.2">
      <c r="A18" s="2" t="s">
        <v>37</v>
      </c>
      <c r="B18" s="5"/>
      <c r="H18" s="10" t="s">
        <v>10</v>
      </c>
      <c r="I18" s="26"/>
      <c r="J18" s="26"/>
      <c r="K18" s="26" t="s">
        <v>11</v>
      </c>
      <c r="L18" s="26"/>
      <c r="M18" s="11"/>
      <c r="N18" s="2" t="s">
        <v>51</v>
      </c>
    </row>
    <row r="19" spans="1:14" x14ac:dyDescent="0.2">
      <c r="A19" s="2" t="s">
        <v>46</v>
      </c>
      <c r="B19" s="5"/>
      <c r="H19" s="10"/>
      <c r="I19" s="26"/>
      <c r="J19" s="26"/>
      <c r="K19" s="26"/>
      <c r="L19" s="26"/>
      <c r="M19" s="12"/>
    </row>
    <row r="20" spans="1:14" x14ac:dyDescent="0.2">
      <c r="A20" s="2" t="s">
        <v>23</v>
      </c>
      <c r="B20" s="29">
        <f>B17-B18-B19</f>
        <v>0</v>
      </c>
      <c r="C20" s="2" t="s">
        <v>7</v>
      </c>
      <c r="H20" s="10" t="s">
        <v>13</v>
      </c>
      <c r="I20" s="26" t="s">
        <v>14</v>
      </c>
      <c r="J20" s="26" t="s">
        <v>15</v>
      </c>
      <c r="K20" s="26" t="s">
        <v>16</v>
      </c>
      <c r="L20" s="26"/>
      <c r="M20" s="12"/>
    </row>
    <row r="21" spans="1:14" x14ac:dyDescent="0.2">
      <c r="B21" s="4"/>
      <c r="H21" s="14">
        <v>125000</v>
      </c>
      <c r="I21" s="15">
        <f>H21</f>
        <v>125000</v>
      </c>
      <c r="J21" s="28">
        <v>0.05</v>
      </c>
      <c r="K21" s="26">
        <f>IF(M18&gt;125000, H21*J21, M18*J21)</f>
        <v>0</v>
      </c>
      <c r="L21" s="26"/>
      <c r="M21" s="12"/>
    </row>
    <row r="22" spans="1:14" x14ac:dyDescent="0.2">
      <c r="B22" s="4"/>
      <c r="H22" s="14">
        <v>125000</v>
      </c>
      <c r="I22" s="15">
        <f>I21+H22</f>
        <v>250000</v>
      </c>
      <c r="J22" s="28">
        <v>7.0000000000000007E-2</v>
      </c>
      <c r="K22" s="26">
        <f>IF(M18&gt;I22,H22*J22,(IF(M18&lt;I21,0,M18-I21)*J22))</f>
        <v>0</v>
      </c>
      <c r="L22" s="26"/>
      <c r="M22" s="12"/>
    </row>
    <row r="23" spans="1:14" x14ac:dyDescent="0.2">
      <c r="B23" s="4"/>
      <c r="H23" s="14">
        <v>675000</v>
      </c>
      <c r="I23" s="15">
        <f>I22+H23</f>
        <v>925000</v>
      </c>
      <c r="J23" s="28">
        <v>0.1</v>
      </c>
      <c r="K23" s="26">
        <f>IF(M18&gt;I23,H23*J23,(IF(M18&lt;I22,0,M18-I22)*J23))</f>
        <v>0</v>
      </c>
      <c r="L23" s="26"/>
      <c r="M23" s="12"/>
    </row>
    <row r="24" spans="1:14" x14ac:dyDescent="0.2">
      <c r="A24" s="1" t="s">
        <v>8</v>
      </c>
      <c r="B24" s="4"/>
      <c r="H24" s="14">
        <v>925000</v>
      </c>
      <c r="I24" s="29">
        <v>1500000</v>
      </c>
      <c r="J24" s="28">
        <v>0.15</v>
      </c>
      <c r="K24" s="26">
        <f>IF(M18&gt;I24,H24*J24,(IF(M18&lt;I23,0,M18-I23)*J24))</f>
        <v>0</v>
      </c>
      <c r="L24" s="26"/>
      <c r="M24" s="12"/>
      <c r="N24" s="2" t="s">
        <v>52</v>
      </c>
    </row>
    <row r="25" spans="1:14" x14ac:dyDescent="0.2">
      <c r="A25" s="24" t="s">
        <v>39</v>
      </c>
      <c r="B25" s="4"/>
      <c r="H25" s="10"/>
      <c r="I25" s="26"/>
      <c r="J25" s="26"/>
      <c r="K25" s="27">
        <f>SUM(K21:K24)</f>
        <v>0</v>
      </c>
      <c r="L25" s="26"/>
      <c r="M25" s="12"/>
    </row>
    <row r="26" spans="1:14" x14ac:dyDescent="0.2">
      <c r="A26" s="2" t="s">
        <v>18</v>
      </c>
      <c r="B26" s="5"/>
      <c r="C26" s="2" t="str">
        <f>IF(B26-M29-M18=0, "SDLT correct", "Update SDLT calculator")</f>
        <v>SDLT correct</v>
      </c>
      <c r="H26" s="10"/>
      <c r="I26" s="26"/>
      <c r="J26" s="26"/>
      <c r="K26" s="26"/>
      <c r="L26" s="26"/>
      <c r="M26" s="12"/>
    </row>
    <row r="27" spans="1:14" x14ac:dyDescent="0.2">
      <c r="B27" s="23"/>
      <c r="H27" s="10"/>
      <c r="I27" s="26"/>
      <c r="J27" s="26"/>
      <c r="K27" s="26"/>
      <c r="L27" s="26"/>
      <c r="M27" s="12"/>
    </row>
    <row r="28" spans="1:14" x14ac:dyDescent="0.2">
      <c r="A28" s="2" t="s">
        <v>16</v>
      </c>
      <c r="B28" s="29">
        <f>K25+K34</f>
        <v>0</v>
      </c>
      <c r="C28" s="2" t="s">
        <v>7</v>
      </c>
      <c r="H28" s="10" t="s">
        <v>13</v>
      </c>
      <c r="I28" s="26" t="s">
        <v>14</v>
      </c>
      <c r="J28" s="26" t="s">
        <v>15</v>
      </c>
      <c r="K28" s="26" t="s">
        <v>16</v>
      </c>
      <c r="L28" s="26"/>
      <c r="M28" s="12"/>
    </row>
    <row r="29" spans="1:14" x14ac:dyDescent="0.2">
      <c r="A29" s="2" t="s">
        <v>30</v>
      </c>
      <c r="B29" s="16">
        <v>0</v>
      </c>
      <c r="H29" s="10" t="s">
        <v>19</v>
      </c>
      <c r="I29" s="26"/>
      <c r="J29" s="26"/>
      <c r="K29" s="26" t="s">
        <v>20</v>
      </c>
      <c r="L29" s="26"/>
      <c r="M29" s="11"/>
      <c r="N29" s="2" t="s">
        <v>51</v>
      </c>
    </row>
    <row r="30" spans="1:14" x14ac:dyDescent="0.2">
      <c r="A30" s="2" t="s">
        <v>40</v>
      </c>
      <c r="B30" s="5"/>
      <c r="H30" s="10"/>
      <c r="I30" s="26"/>
      <c r="J30" s="26"/>
      <c r="K30" s="26"/>
      <c r="L30" s="26"/>
      <c r="M30" s="12"/>
    </row>
    <row r="31" spans="1:14" x14ac:dyDescent="0.2">
      <c r="A31" s="2" t="s">
        <v>37</v>
      </c>
      <c r="B31" s="13"/>
      <c r="H31" s="14">
        <v>150000</v>
      </c>
      <c r="I31" s="15">
        <f>H31</f>
        <v>150000</v>
      </c>
      <c r="J31" s="28">
        <v>0</v>
      </c>
      <c r="K31" s="26">
        <f>IF(M29&gt;250000, H31*J31, M29*J31)</f>
        <v>0</v>
      </c>
      <c r="L31" s="26"/>
      <c r="M31" s="12"/>
    </row>
    <row r="32" spans="1:14" x14ac:dyDescent="0.2">
      <c r="A32" s="2" t="s">
        <v>41</v>
      </c>
      <c r="B32" s="31">
        <f>SUM(B28:B31)</f>
        <v>0</v>
      </c>
      <c r="H32" s="14">
        <v>100000</v>
      </c>
      <c r="I32" s="15">
        <f>I31+H32</f>
        <v>250000</v>
      </c>
      <c r="J32" s="28">
        <v>0.02</v>
      </c>
      <c r="K32" s="26">
        <f>IF(M29&gt;I32,H32*J32,(IF(M29&lt;I31,0,M29-I31)*J32))</f>
        <v>0</v>
      </c>
      <c r="L32" s="26"/>
      <c r="M32" s="12"/>
    </row>
    <row r="33" spans="1:13" x14ac:dyDescent="0.2">
      <c r="A33" s="24" t="s">
        <v>38</v>
      </c>
      <c r="B33" s="25"/>
      <c r="H33" s="14">
        <v>1250000</v>
      </c>
      <c r="I33" s="15">
        <f>I32+H33</f>
        <v>1500000</v>
      </c>
      <c r="J33" s="28">
        <v>0.05</v>
      </c>
      <c r="K33" s="26">
        <f>IF(M29&gt;I33,H33*J33,(IF(M29&lt;I32,0,M29-I32)*J33))</f>
        <v>0</v>
      </c>
      <c r="L33" s="26"/>
      <c r="M33" s="12"/>
    </row>
    <row r="34" spans="1:13" ht="13.5" thickBot="1" x14ac:dyDescent="0.25">
      <c r="A34" s="2" t="s">
        <v>9</v>
      </c>
      <c r="B34" s="5"/>
      <c r="H34" s="17"/>
      <c r="I34" s="18"/>
      <c r="J34" s="18"/>
      <c r="K34" s="19">
        <f>SUM(K31:K33)</f>
        <v>0</v>
      </c>
      <c r="L34" s="18"/>
      <c r="M34" s="20"/>
    </row>
    <row r="35" spans="1:13" x14ac:dyDescent="0.2">
      <c r="A35" s="2" t="s">
        <v>12</v>
      </c>
      <c r="B35" s="5"/>
    </row>
    <row r="36" spans="1:13" x14ac:dyDescent="0.2">
      <c r="A36" s="2" t="s">
        <v>43</v>
      </c>
      <c r="B36" s="13"/>
    </row>
    <row r="37" spans="1:13" x14ac:dyDescent="0.2">
      <c r="A37" s="2" t="s">
        <v>17</v>
      </c>
      <c r="B37" s="30">
        <f>SUM(B34:B36)</f>
        <v>0</v>
      </c>
      <c r="C37" s="2" t="s">
        <v>7</v>
      </c>
    </row>
    <row r="38" spans="1:13" x14ac:dyDescent="0.2">
      <c r="B38" s="25"/>
    </row>
    <row r="39" spans="1:13" x14ac:dyDescent="0.2">
      <c r="A39" s="24" t="s">
        <v>31</v>
      </c>
      <c r="B39" s="25"/>
    </row>
    <row r="40" spans="1:13" x14ac:dyDescent="0.2">
      <c r="A40" s="2" t="s">
        <v>24</v>
      </c>
      <c r="B40" s="15">
        <f>B26-B41</f>
        <v>0</v>
      </c>
      <c r="C40" s="2" t="s">
        <v>7</v>
      </c>
    </row>
    <row r="41" spans="1:13" x14ac:dyDescent="0.2">
      <c r="A41" s="2" t="s">
        <v>25</v>
      </c>
      <c r="B41" s="29">
        <f>B26*B10</f>
        <v>0</v>
      </c>
      <c r="C41" s="2" t="s">
        <v>7</v>
      </c>
    </row>
    <row r="42" spans="1:13" x14ac:dyDescent="0.2">
      <c r="A42" s="2" t="s">
        <v>33</v>
      </c>
      <c r="B42" s="29">
        <f>B41*B11*B13</f>
        <v>0</v>
      </c>
      <c r="C42" s="2" t="s">
        <v>7</v>
      </c>
    </row>
    <row r="43" spans="1:13" x14ac:dyDescent="0.2">
      <c r="A43" s="2" t="s">
        <v>50</v>
      </c>
      <c r="B43" s="29">
        <f>B41*0.035</f>
        <v>0</v>
      </c>
      <c r="C43" s="2" t="s">
        <v>7</v>
      </c>
    </row>
    <row r="44" spans="1:13" x14ac:dyDescent="0.2">
      <c r="A44" s="2" t="s">
        <v>26</v>
      </c>
      <c r="B44" s="29">
        <f>B41-B46</f>
        <v>0</v>
      </c>
      <c r="C44" s="2" t="s">
        <v>7</v>
      </c>
    </row>
    <row r="45" spans="1:13" x14ac:dyDescent="0.2">
      <c r="A45" s="2" t="s">
        <v>27</v>
      </c>
      <c r="B45" s="29">
        <f>B43+B42+B37+B32+B26</f>
        <v>0</v>
      </c>
      <c r="C45" s="2" t="s">
        <v>7</v>
      </c>
    </row>
    <row r="46" spans="1:13" x14ac:dyDescent="0.2">
      <c r="A46" s="2" t="s">
        <v>36</v>
      </c>
      <c r="B46" s="29">
        <f>(B41*B11*B12)+B43</f>
        <v>0</v>
      </c>
      <c r="C46" s="2" t="s">
        <v>7</v>
      </c>
      <c r="D46" s="22"/>
    </row>
    <row r="47" spans="1:13" x14ac:dyDescent="0.2">
      <c r="B47" s="4"/>
    </row>
    <row r="48" spans="1:13" x14ac:dyDescent="0.2">
      <c r="A48" s="2" t="s">
        <v>28</v>
      </c>
      <c r="B48" s="30">
        <f>B40+B46+B31+B37+B28+B30+B29</f>
        <v>0</v>
      </c>
    </row>
    <row r="49" spans="1:2" x14ac:dyDescent="0.2">
      <c r="B49" s="4"/>
    </row>
    <row r="50" spans="1:2" x14ac:dyDescent="0.2">
      <c r="A50" s="1" t="s">
        <v>21</v>
      </c>
      <c r="B50" s="4"/>
    </row>
    <row r="51" spans="1:2" x14ac:dyDescent="0.2">
      <c r="A51" s="2" t="s">
        <v>22</v>
      </c>
      <c r="B51" s="29">
        <f>B45</f>
        <v>0</v>
      </c>
    </row>
    <row r="52" spans="1:2" x14ac:dyDescent="0.2">
      <c r="A52" s="2" t="s">
        <v>44</v>
      </c>
      <c r="B52" s="29">
        <f>B20</f>
        <v>0</v>
      </c>
    </row>
    <row r="53" spans="1:2" x14ac:dyDescent="0.2">
      <c r="A53" s="1" t="s">
        <v>29</v>
      </c>
      <c r="B53" s="32">
        <f>B51-B52</f>
        <v>0</v>
      </c>
    </row>
    <row r="54" spans="1:2" x14ac:dyDescent="0.2">
      <c r="B54" s="21"/>
    </row>
    <row r="55" spans="1:2" x14ac:dyDescent="0.2">
      <c r="B55" s="4"/>
    </row>
    <row r="61" spans="1:2" x14ac:dyDescent="0.2">
      <c r="B61" s="22"/>
    </row>
  </sheetData>
  <conditionalFormatting sqref="C26:C27">
    <cfRule type="containsText" dxfId="0" priority="1" operator="containsText" text="Update SDLT calculator">
      <formula>NOT(ISERROR(SEARCH("Update SDLT calculator",C26)))</formula>
    </cfRule>
  </conditionalFormatting>
  <dataValidations count="1">
    <dataValidation type="list" allowBlank="1" showInputMessage="1" showErrorMessage="1" sqref="B7:B8" xr:uid="{C33E6B43-DD46-434F-AA60-45C9763EE9FD}">
      <formula1>$G$5:$G$7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BRR</vt:lpstr>
      <vt:lpstr>Flip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McCaul</dc:creator>
  <cp:lastModifiedBy>Liam Purdham</cp:lastModifiedBy>
  <dcterms:created xsi:type="dcterms:W3CDTF">2024-10-17T06:46:06Z</dcterms:created>
  <dcterms:modified xsi:type="dcterms:W3CDTF">2026-04-20T07:58:11Z</dcterms:modified>
</cp:coreProperties>
</file>